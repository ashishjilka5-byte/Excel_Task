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4090" yWindow="3360" windowWidth="17280" windowHeight="8880"/>
  </bookViews>
  <sheets>
    <sheet name="STUDENTS GRADE" sheetId="1" r:id="rId1"/>
    <sheet name="SALES DATA" sheetId="2" r:id="rId2"/>
    <sheet name="EMPLOYEE DATA" sheetId="3" r:id="rId3"/>
  </sheets>
  <definedNames>
    <definedName name="_xlnm._FilterDatabase" localSheetId="2" hidden="1">'EMPLOYEE DATA'!$A$2:$F$2</definedName>
    <definedName name="_xlnm._FilterDatabase" localSheetId="1" hidden="1">'SALES DATA'!$A$2:$F$2</definedName>
    <definedName name="_xlnm._FilterDatabase" localSheetId="0" hidden="1">'STUDENTS GRADE'!$A$2:$L$2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3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I27" i="1" a="1"/>
  <c r="I27" i="1" s="1"/>
  <c r="R3" i="1"/>
  <c r="Q3" i="1"/>
  <c r="P3" i="1"/>
  <c r="G26" i="1"/>
  <c r="L16" i="2" l="1"/>
  <c r="M3" i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3" i="3"/>
  <c r="L11" i="2"/>
  <c r="L6" i="2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3" i="3"/>
  <c r="E26" i="2"/>
  <c r="E24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3" i="2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3" i="1"/>
  <c r="K3" i="3" a="1"/>
  <c r="K3" i="3" l="1"/>
  <c r="N3" i="3"/>
  <c r="L3" i="3"/>
  <c r="M3" i="3"/>
  <c r="H3" i="1" l="1"/>
  <c r="G3" i="1"/>
  <c r="I3" i="1" s="1"/>
  <c r="K3" i="1"/>
  <c r="G4" i="1"/>
  <c r="I4" i="1" s="1"/>
  <c r="G5" i="1"/>
  <c r="I5" i="1" s="1"/>
  <c r="G6" i="1"/>
  <c r="I6" i="1" s="1"/>
  <c r="G7" i="1"/>
  <c r="I7" i="1" s="1"/>
  <c r="G8" i="1"/>
  <c r="I8" i="1" s="1"/>
  <c r="G9" i="1"/>
  <c r="I9" i="1" s="1"/>
  <c r="G10" i="1"/>
  <c r="I10" i="1" s="1"/>
  <c r="G11" i="1"/>
  <c r="G12" i="1"/>
  <c r="I12" i="1" s="1"/>
  <c r="G13" i="1"/>
  <c r="I13" i="1" s="1"/>
  <c r="G14" i="1"/>
  <c r="I14" i="1" s="1"/>
  <c r="G15" i="1"/>
  <c r="I15" i="1" s="1"/>
  <c r="G16" i="1"/>
  <c r="I16" i="1" s="1"/>
  <c r="G17" i="1"/>
  <c r="G18" i="1"/>
  <c r="I18" i="1" s="1"/>
  <c r="G19" i="1"/>
  <c r="I19" i="1" s="1"/>
  <c r="G20" i="1"/>
  <c r="I20" i="1" s="1"/>
  <c r="G21" i="1"/>
  <c r="I21" i="1" s="1"/>
  <c r="G22" i="1"/>
  <c r="I22" i="1" s="1"/>
  <c r="J3" i="1" l="1"/>
  <c r="G24" i="1"/>
  <c r="J14" i="1" s="1"/>
  <c r="I17" i="1"/>
  <c r="I11" i="1"/>
  <c r="J4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J18" i="1" l="1"/>
  <c r="J20" i="1"/>
  <c r="J13" i="1"/>
  <c r="J15" i="1"/>
  <c r="J11" i="1"/>
  <c r="J16" i="1"/>
  <c r="J8" i="1"/>
  <c r="J12" i="1"/>
  <c r="J5" i="1"/>
  <c r="J22" i="1"/>
  <c r="J7" i="1"/>
  <c r="J9" i="1"/>
  <c r="J10" i="1"/>
  <c r="J6" i="1"/>
  <c r="J19" i="1"/>
  <c r="J21" i="1"/>
  <c r="J17" i="1"/>
  <c r="N29" i="1"/>
  <c r="M29" i="1"/>
  <c r="L29" i="1"/>
  <c r="K29" i="1"/>
  <c r="J29" i="1"/>
  <c r="I29" i="1"/>
  <c r="N28" i="1"/>
  <c r="M28" i="1"/>
  <c r="L28" i="1"/>
  <c r="K28" i="1"/>
  <c r="J28" i="1"/>
  <c r="I28" i="1"/>
  <c r="N27" i="1"/>
  <c r="M27" i="1"/>
  <c r="L27" i="1"/>
  <c r="K27" i="1"/>
  <c r="J27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<sst xmlns="http://schemas.openxmlformats.org/spreadsheetml/2006/main" count="173" uniqueCount="119">
  <si>
    <t>Student ID</t>
  </si>
  <si>
    <t>Name</t>
  </si>
  <si>
    <t>Math</t>
  </si>
  <si>
    <t>Science</t>
  </si>
  <si>
    <t>English</t>
  </si>
  <si>
    <t>Enrollment Date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</si>
  <si>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</si>
  <si>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</si>
  <si>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</si>
  <si>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</si>
  <si>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</si>
  <si>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</si>
  <si>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</si>
  <si>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</si>
  <si>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</si>
  <si>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</si>
  <si>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</si>
  <si>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</si>
  <si>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</si>
  <si>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</si>
  <si>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</si>
  <si>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</si>
  <si>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</si>
  <si>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</si>
  <si>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</si>
  <si>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</si>
  <si>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</si>
  <si>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</si>
  <si>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</si>
  <si>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</si>
  <si>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</si>
  <si>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</si>
  <si>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</si>
  <si>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</si>
  <si>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</si>
  <si>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</si>
  <si>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</si>
  <si>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</si>
  <si>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</si>
  <si>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</si>
  <si>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</si>
  <si>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</si>
  <si>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</si>
  <si>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</si>
  <si>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</si>
  <si>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</si>
  <si>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</si>
  <si>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</si>
  <si>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</si>
  <si>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</si>
  <si>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</si>
  <si>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</si>
  <si>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</si>
  <si>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</si>
  <si>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</si>
  <si>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</si>
  <si>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</si>
  <si>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</si>
  <si>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</si>
  <si>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</si>
  <si>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</si>
  <si>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Employee ID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</si>
  <si>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</si>
  <si>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</si>
  <si>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</si>
  <si>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</si>
  <si>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</si>
  <si>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</si>
  <si>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</si>
  <si>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</si>
  <si>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</si>
  <si>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</si>
  <si>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</si>
  <si>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</si>
  <si>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</si>
  <si>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</si>
  <si>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</si>
  <si>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</si>
  <si>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</si>
  <si>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</si>
  <si>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</si>
  <si>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</si>
  <si>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</si>
  <si>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</si>
  <si>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</si>
  <si>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</si>
  <si>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</si>
  <si>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</si>
  <si>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</si>
  <si>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Grade</t>
  </si>
  <si>
    <t>IF Formula</t>
  </si>
  <si>
    <t>Students Scoring</t>
  </si>
  <si>
    <t>COUNTIFS – Math &gt; 50</t>
  </si>
  <si>
    <t>Avg Formula</t>
  </si>
  <si>
    <t>Avg Marks</t>
  </si>
  <si>
    <t>Pass/ fail</t>
  </si>
  <si>
    <t>Count Above 60 marks</t>
  </si>
  <si>
    <t>Above 80 marks</t>
  </si>
  <si>
    <t>Above 80 math &amp; science apply if OR &amp; And</t>
  </si>
  <si>
    <t>Vlookup Functions Fatched Sales by using vlookup</t>
  </si>
  <si>
    <t>Sales Amount</t>
  </si>
  <si>
    <t>Compute discounts</t>
  </si>
  <si>
    <t>SUBTOTAL</t>
  </si>
  <si>
    <t>Products wise and Region wise sales</t>
  </si>
  <si>
    <t>Extract year from joining date</t>
  </si>
  <si>
    <t>XMATCH – Product Position(Mouse)</t>
  </si>
  <si>
    <t>INDIRECT – Dynamic Range</t>
  </si>
  <si>
    <t>OFFSET – Dynamic Sales Total</t>
  </si>
  <si>
    <t>Date Functions – Age from DOB</t>
  </si>
  <si>
    <t>Date Difference (Days)</t>
  </si>
  <si>
    <t>First Name extract (LEFT + FIND)</t>
  </si>
  <si>
    <t>Convert to UPPERCASE</t>
  </si>
  <si>
    <t>Convert to lowercase</t>
  </si>
  <si>
    <t>INDEX + MATCH – SALES SHEET</t>
  </si>
  <si>
    <t>Math Formulas(Round)</t>
  </si>
  <si>
    <t>Math Formulas(Celing)</t>
  </si>
  <si>
    <t>Math Formulas(Floor)</t>
  </si>
  <si>
    <t>Top Performing Students (Using FILTER Function)</t>
  </si>
  <si>
    <t>INDEX +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</si>
</sst>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/>
      <top style="medium">
        <color rgb="FFCCCCCC"/>
      </top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2" fontId="0" fillId="0" borderId="6" xfId="0" applyNumberFormat="1" applyBorder="1" applyAlignment="1">
      <alignment horizontal="center" vertical="center"/>
    </xf>
    <xf numFmtId="22" fontId="0" fillId="0" borderId="8" xfId="0" applyNumberFormat="1" applyBorder="1" applyAlignment="1">
      <alignment horizontal="center" vertical="center"/>
    </xf>
    <xf numFmtId="22" fontId="0" fillId="0" borderId="9" xfId="0" applyNumberFormat="1" applyBorder="1" applyAlignment="1">
      <alignment horizontal="center" vertical="center"/>
    </xf>
    <xf numFmtId="22" fontId="0" fillId="0" borderId="10" xfId="0" applyNumberFormat="1" applyBorder="1" applyAlignment="1">
      <alignment horizontal="center" vertical="center"/>
    </xf>
    <xf numFmtId="22" fontId="0" fillId="0" borderId="11" xfId="0" applyNumberFormat="1" applyBorder="1" applyAlignment="1">
      <alignment horizontal="center" vertical="center"/>
    </xf>
    <xf numFmtId="0" fontId="1" fillId="0" borderId="0" xfId="0" applyFont="1" applyAlignment="1">
      <alignment horizontal="center"/>
    </xf>
    <xf numFmtId="14" fontId="0" fillId="0" borderId="0" xfId="0" applyNumberFormat="1"/>
    <xf numFmtId="14" fontId="0" fillId="0" borderId="4" xfId="0" applyNumberFormat="1" applyBorder="1" applyAlignment="1">
      <alignment horizontal="center" vertical="center"/>
    </xf>
    <xf numFmtId="22" fontId="0" fillId="0" borderId="12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/>
    </xf>
    <xf numFmtId="10" fontId="0" fillId="0" borderId="16" xfId="0" applyNumberFormat="1" applyBorder="1"/>
    <xf numFmtId="0" fontId="1" fillId="3" borderId="16" xfId="0" applyFont="1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0" fontId="1" fillId="3" borderId="16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1" fillId="3" borderId="16" xfId="0" applyFont="1" applyFill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4" fontId="2" fillId="2" borderId="5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/>
    </xf>
    <xf numFmtId="2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4" fontId="1" fillId="0" borderId="0" xfId="0" applyNumberFormat="1" applyFont="1" applyAlignment="1">
      <alignment horizontal="center" wrapText="1"/>
    </xf>
    <xf numFmtId="14" fontId="1" fillId="3" borderId="16" xfId="0" applyNumberFormat="1" applyFont="1" applyFill="1" applyBorder="1"/>
    <xf numFmtId="14" fontId="1" fillId="3" borderId="16" xfId="0" applyNumberFormat="1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wrapText="1"/>
    </xf>
    <xf numFmtId="0" fontId="1" fillId="3" borderId="16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wrapText="1"/>
    </xf>
    <xf numFmtId="14" fontId="2" fillId="4" borderId="7" xfId="0" applyNumberFormat="1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14" fontId="2" fillId="5" borderId="16" xfId="0" applyNumberFormat="1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14" fontId="0" fillId="5" borderId="0" xfId="0" applyNumberFormat="1" applyFill="1"/>
    <xf numFmtId="0" fontId="2" fillId="5" borderId="16" xfId="0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/>
    </xf>
    <xf numFmtId="0" fontId="0" fillId="5" borderId="0" xfId="0" applyFill="1"/>
    <xf numFmtId="0" fontId="3" fillId="5" borderId="16" xfId="0" applyFont="1" applyFill="1" applyBorder="1" applyAlignment="1">
      <alignment horizontal="center" wrapText="1"/>
    </xf>
    <xf numFmtId="0" fontId="4" fillId="5" borderId="16" xfId="0" applyFont="1" applyFill="1" applyBorder="1" applyAlignment="1">
      <alignment horizontal="center" vertical="center"/>
    </xf>
    <xf numFmtId="14" fontId="5" fillId="4" borderId="7" xfId="0" applyNumberFormat="1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"/>
  <sheetViews>
    <sheetView tabSelected="1" zoomScale="70" zoomScaleNormal="7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I25" sqref="I25"/>
    </sheetView>
  </sheetViews>
  <sheetFormatPr defaultRowHeight="14.5" x14ac:dyDescent="0.35"/>
  <cols>
    <col min="1" max="1" width="10" customWidth="1"/>
    <col min="2" max="2" width="11" customWidth="1"/>
    <col min="3" max="3" width="10.1796875" customWidth="1"/>
    <col min="4" max="4" width="9.6328125" customWidth="1"/>
    <col min="5" max="5" width="12" customWidth="1"/>
    <col min="6" max="6" width="18.36328125" style="11" customWidth="1"/>
    <col min="7" max="7" width="10.6328125" style="11" customWidth="1"/>
    <col min="8" max="8" width="9.6328125" customWidth="1"/>
    <col min="9" max="9" width="10.81640625" customWidth="1"/>
    <col min="10" max="10" width="11.08984375" customWidth="1"/>
    <col min="11" max="11" width="12.36328125" customWidth="1"/>
    <col min="12" max="12" width="16.08984375" customWidth="1"/>
    <col min="13" max="13" width="15.6328125" bestFit="1" customWidth="1"/>
    <col min="14" max="14" width="12" customWidth="1"/>
    <col min="15" max="15" width="10.54296875" customWidth="1"/>
    <col min="16" max="17" width="11.54296875" customWidth="1"/>
    <col min="18" max="18" width="11.6328125" customWidth="1"/>
  </cols>
  <sheetData>
    <row r="1" spans="1:18" ht="32.4" customHeight="1" thickBot="1" x14ac:dyDescent="0.4">
      <c r="G1" s="48" t="s">
        <v>93</v>
      </c>
      <c r="H1" s="41" t="s">
        <v>90</v>
      </c>
      <c r="I1" s="10"/>
      <c r="J1" s="10"/>
      <c r="K1" s="41" t="s">
        <v>92</v>
      </c>
    </row>
    <row r="2" spans="1:18" ht="89.4" customHeight="1" thickBot="1" x14ac:dyDescent="0.4">
      <c r="A2" s="42" t="s">
        <v>0</v>
      </c>
      <c r="B2" s="43" t="s">
        <v>1</v>
      </c>
      <c r="C2" s="43" t="s">
        <v>2</v>
      </c>
      <c r="D2" s="43" t="s">
        <v>3</v>
      </c>
      <c r="E2" s="43" t="s">
        <v>4</v>
      </c>
      <c r="F2" s="44" t="s">
        <v>5</v>
      </c>
      <c r="G2" s="55" t="s">
        <v>94</v>
      </c>
      <c r="H2" s="56" t="s">
        <v>89</v>
      </c>
      <c r="I2" s="56" t="s">
        <v>95</v>
      </c>
      <c r="J2" s="56" t="s">
        <v>96</v>
      </c>
      <c r="K2" s="57" t="s">
        <v>91</v>
      </c>
      <c r="L2" s="57" t="s">
        <v>98</v>
      </c>
      <c r="M2" s="58" t="s">
        <v>110</v>
      </c>
      <c r="N2" s="58" t="s">
        <v>111</v>
      </c>
      <c r="O2" s="58" t="s">
        <v>112</v>
      </c>
      <c r="P2" s="58" t="s">
        <v>114</v>
      </c>
      <c r="Q2" s="58" t="s">
        <v>115</v>
      </c>
      <c r="R2" s="58" t="s">
        <v>116</v>
      </c>
    </row>
    <row r="3" spans="1:18" ht="15" thickBot="1" x14ac:dyDescent="0.4">
      <c r="A3" s="3">
        <v>1001</v>
      </c>
      <c r="B3" s="4" t="s">
        <v>6</v>
      </c>
      <c r="C3" s="4">
        <v>61</v>
      </c>
      <c r="D3" s="4">
        <v>48</v>
      </c>
      <c r="E3" s="4">
        <v>76</v>
      </c>
      <c r="F3" s="12">
        <v>43101</v>
      </c>
      <c r="G3" s="14">
        <f>AVERAGE(C3:E3)</f>
        <v>61.666666666666664</v>
      </c>
      <c r="H3" s="13" t="str">
        <f>IF(C3&gt;=80,"A",IF(C3&gt;=60,"B",IF(C3&gt;=40,"C","Fail")))</f>
        <v>B</v>
      </c>
      <c r="I3" s="20" t="str">
        <f>IF('STUDENTS GRADE'!$G3&gt;=35,"Pass","Fail")</f>
        <v>Pass</v>
      </c>
      <c r="J3" s="4">
        <f>COUNTIF(G3:G22,"&gt;60")</f>
        <v>16</v>
      </c>
      <c r="K3" s="26">
        <f>COUNTIFS(B3:C22,"&gt;50")</f>
        <v>19</v>
      </c>
      <c r="L3" s="38" t="str">
        <f>IF(OR(C3&gt;=90,D3&gt;=90,E3&gt;=90),"Eligible","Not Eligible")</f>
        <v>Not Eligible</v>
      </c>
      <c r="M3" s="45" t="str">
        <f>LEFT(B3,FIND(" ",B3)-1)</f>
        <v>Student</v>
      </c>
      <c r="N3" s="45" t="str">
        <f>UPPER(B3)</f>
        <v>STUDENT 1</v>
      </c>
      <c r="O3" s="45" t="str">
        <f>LOWER(B3)</f>
        <v>student 1</v>
      </c>
      <c r="P3" s="46">
        <f>ROUND(G3,2)</f>
        <v>61.67</v>
      </c>
      <c r="Q3" s="47">
        <f>CEILING(G3,10)</f>
        <v>70</v>
      </c>
      <c r="R3" s="47">
        <f>FLOOR(G3,10)</f>
        <v>60</v>
      </c>
    </row>
    <row r="4" spans="1:18" ht="15" thickBot="1" x14ac:dyDescent="0.4">
      <c r="A4" s="3">
        <v>1002</v>
      </c>
      <c r="B4" s="4" t="s">
        <v>7</v>
      </c>
      <c r="C4" s="4">
        <v>78</v>
      </c>
      <c r="D4" s="4">
        <v>76</v>
      </c>
      <c r="E4" s="4">
        <v>70</v>
      </c>
      <c r="F4" s="12">
        <v>43281</v>
      </c>
      <c r="G4" s="14">
        <f t="shared" ref="G4:G22" si="0">AVERAGE(C4:E4)</f>
        <v>74.666666666666671</v>
      </c>
      <c r="H4" s="5" t="str">
        <f t="shared" ref="H4:H22" si="1">IF(C4&gt;=80,"A",IF(C4&gt;=60,"B",IF(C4&gt;=40,"C","Fail")))</f>
        <v>B</v>
      </c>
      <c r="I4" s="20" t="str">
        <f>IF('STUDENTS GRADE'!$G4&gt;=35,"Pass","Fail")</f>
        <v>Pass</v>
      </c>
      <c r="J4" s="4">
        <f t="shared" ref="J4:J22" si="2">COUNTIF(G4:G23,"&gt;60")</f>
        <v>15</v>
      </c>
      <c r="K4" s="26">
        <f t="shared" ref="K4:K22" si="3">COUNTIFS(B4:C23,"&gt;50")</f>
        <v>18</v>
      </c>
      <c r="L4" s="38" t="str">
        <f t="shared" ref="L4:L22" si="4">IF(OR(C4&gt;=90,D4&gt;=90,E4&gt;=90),"Eligible","Not Eligible")</f>
        <v>Not Eligible</v>
      </c>
      <c r="M4" s="45" t="str">
        <f t="shared" ref="M4:M22" si="5">LEFT(B4,FIND(" ",B4)-1)</f>
        <v>Student</v>
      </c>
      <c r="N4" s="45" t="str">
        <f t="shared" ref="N4:N22" si="6">UPPER(B4)</f>
        <v>STUDENT 2</v>
      </c>
      <c r="O4" s="45" t="str">
        <f t="shared" ref="O4:O22" si="7">LOWER(B4)</f>
        <v>student 2</v>
      </c>
      <c r="P4" s="46">
        <f t="shared" ref="P4:P22" si="8">ROUND(G4,2)</f>
        <v>74.67</v>
      </c>
      <c r="Q4" s="47">
        <f t="shared" ref="Q4:Q22" si="9">CEILING(G4,10)</f>
        <v>80</v>
      </c>
      <c r="R4" s="47">
        <f t="shared" ref="R4:R22" si="10">FLOOR(G4,10)</f>
        <v>70</v>
      </c>
    </row>
    <row r="5" spans="1:18" ht="15" thickBot="1" x14ac:dyDescent="0.4">
      <c r="A5" s="3">
        <v>1003</v>
      </c>
      <c r="B5" s="4" t="s">
        <v>8</v>
      </c>
      <c r="C5" s="4">
        <v>97</v>
      </c>
      <c r="D5" s="4">
        <v>60</v>
      </c>
      <c r="E5" s="4">
        <v>51</v>
      </c>
      <c r="F5" s="12">
        <v>43461</v>
      </c>
      <c r="G5" s="14">
        <f t="shared" si="0"/>
        <v>69.333333333333329</v>
      </c>
      <c r="H5" s="5" t="str">
        <f t="shared" si="1"/>
        <v>A</v>
      </c>
      <c r="I5" s="20" t="str">
        <f>IF('STUDENTS GRADE'!$G5&gt;=35,"Pass","Fail")</f>
        <v>Pass</v>
      </c>
      <c r="J5" s="4">
        <f t="shared" si="2"/>
        <v>14</v>
      </c>
      <c r="K5" s="26">
        <f t="shared" si="3"/>
        <v>17</v>
      </c>
      <c r="L5" s="38" t="str">
        <f t="shared" si="4"/>
        <v>Eligible</v>
      </c>
      <c r="M5" s="45" t="str">
        <f t="shared" si="5"/>
        <v>Student</v>
      </c>
      <c r="N5" s="45" t="str">
        <f t="shared" si="6"/>
        <v>STUDENT 3</v>
      </c>
      <c r="O5" s="45" t="str">
        <f t="shared" si="7"/>
        <v>student 3</v>
      </c>
      <c r="P5" s="46">
        <f t="shared" si="8"/>
        <v>69.33</v>
      </c>
      <c r="Q5" s="47">
        <f t="shared" si="9"/>
        <v>70</v>
      </c>
      <c r="R5" s="47">
        <f t="shared" si="10"/>
        <v>60</v>
      </c>
    </row>
    <row r="6" spans="1:18" ht="15" thickBot="1" x14ac:dyDescent="0.4">
      <c r="A6" s="3">
        <v>1004</v>
      </c>
      <c r="B6" s="4" t="s">
        <v>9</v>
      </c>
      <c r="C6" s="4">
        <v>74</v>
      </c>
      <c r="D6" s="4">
        <v>55</v>
      </c>
      <c r="E6" s="4">
        <v>46</v>
      </c>
      <c r="F6" s="12">
        <v>43641</v>
      </c>
      <c r="G6" s="14">
        <f t="shared" si="0"/>
        <v>58.333333333333336</v>
      </c>
      <c r="H6" s="5" t="str">
        <f t="shared" si="1"/>
        <v>B</v>
      </c>
      <c r="I6" s="20" t="str">
        <f>IF('STUDENTS GRADE'!$G6&gt;=35,"Pass","Fail")</f>
        <v>Pass</v>
      </c>
      <c r="J6" s="4">
        <f t="shared" si="2"/>
        <v>13</v>
      </c>
      <c r="K6" s="26">
        <f t="shared" si="3"/>
        <v>16</v>
      </c>
      <c r="L6" s="38" t="str">
        <f t="shared" si="4"/>
        <v>Not Eligible</v>
      </c>
      <c r="M6" s="45" t="str">
        <f t="shared" si="5"/>
        <v>Student</v>
      </c>
      <c r="N6" s="45" t="str">
        <f t="shared" si="6"/>
        <v>STUDENT 4</v>
      </c>
      <c r="O6" s="45" t="str">
        <f t="shared" si="7"/>
        <v>student 4</v>
      </c>
      <c r="P6" s="46">
        <f t="shared" si="8"/>
        <v>58.33</v>
      </c>
      <c r="Q6" s="47">
        <f t="shared" si="9"/>
        <v>60</v>
      </c>
      <c r="R6" s="47">
        <f t="shared" si="10"/>
        <v>50</v>
      </c>
    </row>
    <row r="7" spans="1:18" ht="15" thickBot="1" x14ac:dyDescent="0.4">
      <c r="A7" s="3">
        <v>1005</v>
      </c>
      <c r="B7" s="4" t="s">
        <v>10</v>
      </c>
      <c r="C7" s="4">
        <v>68</v>
      </c>
      <c r="D7" s="4">
        <v>74</v>
      </c>
      <c r="E7" s="4">
        <v>84</v>
      </c>
      <c r="F7" s="12">
        <v>43821</v>
      </c>
      <c r="G7" s="14">
        <f t="shared" si="0"/>
        <v>75.333333333333329</v>
      </c>
      <c r="H7" s="5" t="str">
        <f t="shared" si="1"/>
        <v>B</v>
      </c>
      <c r="I7" s="20" t="str">
        <f>IF('STUDENTS GRADE'!$G7&gt;=35,"Pass","Fail")</f>
        <v>Pass</v>
      </c>
      <c r="J7" s="4">
        <f ca="1">COUNTIF(G7:G26,"&gt;60")</f>
        <v>14</v>
      </c>
      <c r="K7" s="27">
        <f t="shared" si="3"/>
        <v>15</v>
      </c>
      <c r="L7" s="38" t="str">
        <f t="shared" si="4"/>
        <v>Not Eligible</v>
      </c>
      <c r="M7" s="45" t="str">
        <f t="shared" si="5"/>
        <v>Student</v>
      </c>
      <c r="N7" s="45" t="str">
        <f t="shared" si="6"/>
        <v>STUDENT 5</v>
      </c>
      <c r="O7" s="45" t="str">
        <f t="shared" si="7"/>
        <v>student 5</v>
      </c>
      <c r="P7" s="46">
        <f t="shared" si="8"/>
        <v>75.33</v>
      </c>
      <c r="Q7" s="47">
        <f t="shared" si="9"/>
        <v>80</v>
      </c>
      <c r="R7" s="47">
        <f t="shared" si="10"/>
        <v>70</v>
      </c>
    </row>
    <row r="8" spans="1:18" ht="15" thickBot="1" x14ac:dyDescent="0.4">
      <c r="A8" s="3">
        <v>1006</v>
      </c>
      <c r="B8" s="4" t="s">
        <v>11</v>
      </c>
      <c r="C8" s="4">
        <v>80</v>
      </c>
      <c r="D8" s="4">
        <v>70</v>
      </c>
      <c r="E8" s="4">
        <v>65</v>
      </c>
      <c r="F8" s="12">
        <v>44001</v>
      </c>
      <c r="G8" s="14">
        <f t="shared" si="0"/>
        <v>71.666666666666671</v>
      </c>
      <c r="H8" s="5" t="str">
        <f t="shared" si="1"/>
        <v>A</v>
      </c>
      <c r="I8" s="20" t="str">
        <f>IF('STUDENTS GRADE'!$G8&gt;=35,"Pass","Fail")</f>
        <v>Pass</v>
      </c>
      <c r="J8" s="4">
        <f t="shared" ca="1" si="2"/>
        <v>13</v>
      </c>
      <c r="K8" s="26">
        <f t="shared" si="3"/>
        <v>14</v>
      </c>
      <c r="L8" s="38" t="str">
        <f t="shared" si="4"/>
        <v>Not Eligible</v>
      </c>
      <c r="M8" s="45" t="str">
        <f t="shared" si="5"/>
        <v>Student</v>
      </c>
      <c r="N8" s="45" t="str">
        <f t="shared" si="6"/>
        <v>STUDENT 6</v>
      </c>
      <c r="O8" s="45" t="str">
        <f t="shared" si="7"/>
        <v>student 6</v>
      </c>
      <c r="P8" s="46">
        <f t="shared" si="8"/>
        <v>71.67</v>
      </c>
      <c r="Q8" s="47">
        <f t="shared" si="9"/>
        <v>80</v>
      </c>
      <c r="R8" s="47">
        <f t="shared" si="10"/>
        <v>70</v>
      </c>
    </row>
    <row r="9" spans="1:18" ht="15" thickBot="1" x14ac:dyDescent="0.4">
      <c r="A9" s="3">
        <v>1007</v>
      </c>
      <c r="B9" s="4" t="s">
        <v>12</v>
      </c>
      <c r="C9" s="4">
        <v>75</v>
      </c>
      <c r="D9" s="4">
        <v>47</v>
      </c>
      <c r="E9" s="4">
        <v>78</v>
      </c>
      <c r="F9" s="12">
        <v>44181</v>
      </c>
      <c r="G9" s="14">
        <f t="shared" si="0"/>
        <v>66.666666666666671</v>
      </c>
      <c r="H9" s="5" t="str">
        <f t="shared" si="1"/>
        <v>B</v>
      </c>
      <c r="I9" s="20" t="str">
        <f>IF('STUDENTS GRADE'!$G9&gt;=35,"Pass","Fail")</f>
        <v>Pass</v>
      </c>
      <c r="J9" s="4">
        <f t="shared" ca="1" si="2"/>
        <v>12</v>
      </c>
      <c r="K9" s="26">
        <f t="shared" si="3"/>
        <v>13</v>
      </c>
      <c r="L9" s="38" t="str">
        <f t="shared" si="4"/>
        <v>Not Eligible</v>
      </c>
      <c r="M9" s="45" t="str">
        <f t="shared" si="5"/>
        <v>Student</v>
      </c>
      <c r="N9" s="45" t="str">
        <f t="shared" si="6"/>
        <v>STUDENT 7</v>
      </c>
      <c r="O9" s="45" t="str">
        <f t="shared" si="7"/>
        <v>student 7</v>
      </c>
      <c r="P9" s="46">
        <f t="shared" si="8"/>
        <v>66.67</v>
      </c>
      <c r="Q9" s="47">
        <f t="shared" si="9"/>
        <v>70</v>
      </c>
      <c r="R9" s="47">
        <f t="shared" si="10"/>
        <v>60</v>
      </c>
    </row>
    <row r="10" spans="1:18" ht="15" thickBot="1" x14ac:dyDescent="0.4">
      <c r="A10" s="3">
        <v>1008</v>
      </c>
      <c r="B10" s="4" t="s">
        <v>13</v>
      </c>
      <c r="C10" s="4">
        <v>94</v>
      </c>
      <c r="D10" s="4">
        <v>67</v>
      </c>
      <c r="E10" s="4">
        <v>64</v>
      </c>
      <c r="F10" s="12">
        <v>44361</v>
      </c>
      <c r="G10" s="14">
        <f t="shared" si="0"/>
        <v>75</v>
      </c>
      <c r="H10" s="5" t="str">
        <f t="shared" si="1"/>
        <v>A</v>
      </c>
      <c r="I10" s="20" t="str">
        <f>IF('STUDENTS GRADE'!$G10&gt;=35,"Pass","Fail")</f>
        <v>Pass</v>
      </c>
      <c r="J10" s="4">
        <f t="shared" ca="1" si="2"/>
        <v>11</v>
      </c>
      <c r="K10" s="26">
        <f t="shared" si="3"/>
        <v>12</v>
      </c>
      <c r="L10" s="38" t="str">
        <f t="shared" si="4"/>
        <v>Eligible</v>
      </c>
      <c r="M10" s="45" t="str">
        <f t="shared" si="5"/>
        <v>Student</v>
      </c>
      <c r="N10" s="45" t="str">
        <f t="shared" si="6"/>
        <v>STUDENT 8</v>
      </c>
      <c r="O10" s="45" t="str">
        <f t="shared" si="7"/>
        <v>student 8</v>
      </c>
      <c r="P10" s="46">
        <f t="shared" si="8"/>
        <v>75</v>
      </c>
      <c r="Q10" s="47">
        <f t="shared" si="9"/>
        <v>80</v>
      </c>
      <c r="R10" s="47">
        <f t="shared" si="10"/>
        <v>70</v>
      </c>
    </row>
    <row r="11" spans="1:18" ht="15" thickBot="1" x14ac:dyDescent="0.4">
      <c r="A11" s="3">
        <v>1009</v>
      </c>
      <c r="B11" s="4" t="s">
        <v>14</v>
      </c>
      <c r="C11" s="4">
        <v>41</v>
      </c>
      <c r="D11" s="4">
        <v>75</v>
      </c>
      <c r="E11" s="4">
        <v>56</v>
      </c>
      <c r="F11" s="12">
        <v>44541</v>
      </c>
      <c r="G11" s="14">
        <f t="shared" si="0"/>
        <v>57.333333333333336</v>
      </c>
      <c r="H11" s="5" t="str">
        <f t="shared" si="1"/>
        <v>C</v>
      </c>
      <c r="I11" s="20" t="str">
        <f>IF('STUDENTS GRADE'!$G11&gt;=35,"Pass","Fail")</f>
        <v>Pass</v>
      </c>
      <c r="J11" s="4">
        <f t="shared" ca="1" si="2"/>
        <v>10</v>
      </c>
      <c r="K11" s="26">
        <f t="shared" si="3"/>
        <v>11</v>
      </c>
      <c r="L11" s="38" t="str">
        <f t="shared" si="4"/>
        <v>Not Eligible</v>
      </c>
      <c r="M11" s="45" t="str">
        <f t="shared" si="5"/>
        <v>Student</v>
      </c>
      <c r="N11" s="45" t="str">
        <f t="shared" si="6"/>
        <v>STUDENT 9</v>
      </c>
      <c r="O11" s="45" t="str">
        <f t="shared" si="7"/>
        <v>student 9</v>
      </c>
      <c r="P11" s="46">
        <f t="shared" si="8"/>
        <v>57.33</v>
      </c>
      <c r="Q11" s="47">
        <f t="shared" si="9"/>
        <v>60</v>
      </c>
      <c r="R11" s="47">
        <f t="shared" si="10"/>
        <v>50</v>
      </c>
    </row>
    <row r="12" spans="1:18" ht="15" thickBot="1" x14ac:dyDescent="0.4">
      <c r="A12" s="3">
        <v>1010</v>
      </c>
      <c r="B12" s="4" t="s">
        <v>15</v>
      </c>
      <c r="C12" s="4">
        <v>98</v>
      </c>
      <c r="D12" s="4">
        <v>54</v>
      </c>
      <c r="E12" s="4">
        <v>58</v>
      </c>
      <c r="F12" s="12">
        <v>44721</v>
      </c>
      <c r="G12" s="14">
        <f t="shared" si="0"/>
        <v>70</v>
      </c>
      <c r="H12" s="5" t="str">
        <f t="shared" si="1"/>
        <v>A</v>
      </c>
      <c r="I12" s="20" t="str">
        <f>IF('STUDENTS GRADE'!$G12&gt;=35,"Pass","Fail")</f>
        <v>Pass</v>
      </c>
      <c r="J12" s="4">
        <f t="shared" ca="1" si="2"/>
        <v>10</v>
      </c>
      <c r="K12" s="26">
        <f t="shared" si="3"/>
        <v>11</v>
      </c>
      <c r="L12" s="38" t="str">
        <f t="shared" si="4"/>
        <v>Eligible</v>
      </c>
      <c r="M12" s="45" t="str">
        <f t="shared" si="5"/>
        <v>Student</v>
      </c>
      <c r="N12" s="45" t="str">
        <f t="shared" si="6"/>
        <v>STUDENT 10</v>
      </c>
      <c r="O12" s="45" t="str">
        <f t="shared" si="7"/>
        <v>student 10</v>
      </c>
      <c r="P12" s="46">
        <f t="shared" si="8"/>
        <v>70</v>
      </c>
      <c r="Q12" s="47">
        <f t="shared" si="9"/>
        <v>70</v>
      </c>
      <c r="R12" s="47">
        <f t="shared" si="10"/>
        <v>70</v>
      </c>
    </row>
    <row r="13" spans="1:18" ht="15" thickBot="1" x14ac:dyDescent="0.4">
      <c r="A13" s="3">
        <v>1011</v>
      </c>
      <c r="B13" s="4" t="s">
        <v>16</v>
      </c>
      <c r="C13" s="4">
        <v>73</v>
      </c>
      <c r="D13" s="4">
        <v>79</v>
      </c>
      <c r="E13" s="4">
        <v>53</v>
      </c>
      <c r="F13" s="12">
        <v>44901</v>
      </c>
      <c r="G13" s="14">
        <f t="shared" si="0"/>
        <v>68.333333333333329</v>
      </c>
      <c r="H13" s="5" t="str">
        <f t="shared" si="1"/>
        <v>B</v>
      </c>
      <c r="I13" s="20" t="str">
        <f>IF('STUDENTS GRADE'!$G13&gt;=35,"Pass","Fail")</f>
        <v>Pass</v>
      </c>
      <c r="J13" s="4">
        <f t="shared" ca="1" si="2"/>
        <v>9</v>
      </c>
      <c r="K13" s="26">
        <f t="shared" si="3"/>
        <v>10</v>
      </c>
      <c r="L13" s="38" t="str">
        <f t="shared" si="4"/>
        <v>Not Eligible</v>
      </c>
      <c r="M13" s="45" t="str">
        <f t="shared" si="5"/>
        <v>Student</v>
      </c>
      <c r="N13" s="45" t="str">
        <f t="shared" si="6"/>
        <v>STUDENT 11</v>
      </c>
      <c r="O13" s="45" t="str">
        <f t="shared" si="7"/>
        <v>student 11</v>
      </c>
      <c r="P13" s="46">
        <f t="shared" si="8"/>
        <v>68.33</v>
      </c>
      <c r="Q13" s="47">
        <f t="shared" si="9"/>
        <v>70</v>
      </c>
      <c r="R13" s="47">
        <f t="shared" si="10"/>
        <v>60</v>
      </c>
    </row>
    <row r="14" spans="1:18" ht="15" thickBot="1" x14ac:dyDescent="0.4">
      <c r="A14" s="3">
        <v>1012</v>
      </c>
      <c r="B14" s="4" t="s">
        <v>17</v>
      </c>
      <c r="C14" s="4">
        <v>85</v>
      </c>
      <c r="D14" s="4">
        <v>89</v>
      </c>
      <c r="E14" s="4">
        <v>79</v>
      </c>
      <c r="F14" s="16">
        <v>45081</v>
      </c>
      <c r="G14" s="14">
        <f t="shared" si="0"/>
        <v>84.333333333333329</v>
      </c>
      <c r="H14" s="6" t="str">
        <f t="shared" si="1"/>
        <v>A</v>
      </c>
      <c r="I14" s="20" t="str">
        <f>IF('STUDENTS GRADE'!$G14&gt;=35,"Pass","Fail")</f>
        <v>Pass</v>
      </c>
      <c r="J14" s="4">
        <f t="shared" ca="1" si="2"/>
        <v>8</v>
      </c>
      <c r="K14" s="26">
        <f t="shared" si="3"/>
        <v>9</v>
      </c>
      <c r="L14" s="38" t="str">
        <f t="shared" si="4"/>
        <v>Not Eligible</v>
      </c>
      <c r="M14" s="45" t="str">
        <f t="shared" si="5"/>
        <v>Student</v>
      </c>
      <c r="N14" s="45" t="str">
        <f t="shared" si="6"/>
        <v>STUDENT 12</v>
      </c>
      <c r="O14" s="45" t="str">
        <f t="shared" si="7"/>
        <v>student 12</v>
      </c>
      <c r="P14" s="46">
        <f t="shared" si="8"/>
        <v>84.33</v>
      </c>
      <c r="Q14" s="47">
        <f t="shared" si="9"/>
        <v>90</v>
      </c>
      <c r="R14" s="47">
        <f t="shared" si="10"/>
        <v>80</v>
      </c>
    </row>
    <row r="15" spans="1:18" ht="15" thickBot="1" x14ac:dyDescent="0.4">
      <c r="A15" s="3">
        <v>1013</v>
      </c>
      <c r="B15" s="4" t="s">
        <v>18</v>
      </c>
      <c r="C15" s="4">
        <v>98</v>
      </c>
      <c r="D15" s="4">
        <v>90</v>
      </c>
      <c r="E15" s="15">
        <v>97</v>
      </c>
      <c r="F15" s="17">
        <v>45261</v>
      </c>
      <c r="G15" s="14">
        <f t="shared" si="0"/>
        <v>95</v>
      </c>
      <c r="H15" s="7" t="str">
        <f t="shared" si="1"/>
        <v>A</v>
      </c>
      <c r="I15" s="20" t="str">
        <f>IF('STUDENTS GRADE'!$G15&gt;=35,"Pass","Fail")</f>
        <v>Pass</v>
      </c>
      <c r="J15" s="4">
        <f t="shared" ca="1" si="2"/>
        <v>7</v>
      </c>
      <c r="K15" s="28">
        <f t="shared" si="3"/>
        <v>8</v>
      </c>
      <c r="L15" s="38" t="str">
        <f t="shared" si="4"/>
        <v>Eligible</v>
      </c>
      <c r="M15" s="45" t="str">
        <f t="shared" si="5"/>
        <v>Student</v>
      </c>
      <c r="N15" s="45" t="str">
        <f t="shared" si="6"/>
        <v>STUDENT 13</v>
      </c>
      <c r="O15" s="45" t="str">
        <f t="shared" si="7"/>
        <v>student 13</v>
      </c>
      <c r="P15" s="46">
        <f t="shared" si="8"/>
        <v>95</v>
      </c>
      <c r="Q15" s="47">
        <f t="shared" si="9"/>
        <v>100</v>
      </c>
      <c r="R15" s="47">
        <f t="shared" si="10"/>
        <v>90</v>
      </c>
    </row>
    <row r="16" spans="1:18" ht="15" thickBot="1" x14ac:dyDescent="0.4">
      <c r="A16" s="3">
        <v>1014</v>
      </c>
      <c r="B16" s="4" t="s">
        <v>19</v>
      </c>
      <c r="C16" s="4">
        <v>93</v>
      </c>
      <c r="D16" s="4">
        <v>40</v>
      </c>
      <c r="E16" s="15">
        <v>44</v>
      </c>
      <c r="F16" s="18">
        <v>45441</v>
      </c>
      <c r="G16" s="14">
        <f t="shared" si="0"/>
        <v>59</v>
      </c>
      <c r="H16" s="8" t="str">
        <f t="shared" si="1"/>
        <v>A</v>
      </c>
      <c r="I16" s="20" t="str">
        <f>IF('STUDENTS GRADE'!$G16&gt;=35,"Pass","Fail")</f>
        <v>Pass</v>
      </c>
      <c r="J16" s="4">
        <f t="shared" ca="1" si="2"/>
        <v>6</v>
      </c>
      <c r="K16" s="28">
        <f t="shared" si="3"/>
        <v>7</v>
      </c>
      <c r="L16" s="38" t="str">
        <f t="shared" si="4"/>
        <v>Eligible</v>
      </c>
      <c r="M16" s="45" t="str">
        <f t="shared" si="5"/>
        <v>Student</v>
      </c>
      <c r="N16" s="45" t="str">
        <f t="shared" si="6"/>
        <v>STUDENT 14</v>
      </c>
      <c r="O16" s="45" t="str">
        <f t="shared" si="7"/>
        <v>student 14</v>
      </c>
      <c r="P16" s="46">
        <f t="shared" si="8"/>
        <v>59</v>
      </c>
      <c r="Q16" s="47">
        <f t="shared" si="9"/>
        <v>60</v>
      </c>
      <c r="R16" s="47">
        <f t="shared" si="10"/>
        <v>50</v>
      </c>
    </row>
    <row r="17" spans="1:18" ht="15" thickBot="1" x14ac:dyDescent="0.4">
      <c r="A17" s="3">
        <v>1015</v>
      </c>
      <c r="B17" s="4" t="s">
        <v>20</v>
      </c>
      <c r="C17" s="4">
        <v>70</v>
      </c>
      <c r="D17" s="4">
        <v>51</v>
      </c>
      <c r="E17" s="15">
        <v>75</v>
      </c>
      <c r="F17" s="18">
        <v>45621</v>
      </c>
      <c r="G17" s="14">
        <f t="shared" si="0"/>
        <v>65.333333333333329</v>
      </c>
      <c r="H17" s="8" t="str">
        <f t="shared" si="1"/>
        <v>B</v>
      </c>
      <c r="I17" s="20" t="str">
        <f>IF('STUDENTS GRADE'!$G17&gt;=35,"Pass","Fail")</f>
        <v>Pass</v>
      </c>
      <c r="J17" s="4">
        <f t="shared" ca="1" si="2"/>
        <v>6</v>
      </c>
      <c r="K17" s="28">
        <f t="shared" si="3"/>
        <v>6</v>
      </c>
      <c r="L17" s="38" t="str">
        <f t="shared" si="4"/>
        <v>Not Eligible</v>
      </c>
      <c r="M17" s="45" t="str">
        <f t="shared" si="5"/>
        <v>Student</v>
      </c>
      <c r="N17" s="45" t="str">
        <f t="shared" si="6"/>
        <v>STUDENT 15</v>
      </c>
      <c r="O17" s="45" t="str">
        <f t="shared" si="7"/>
        <v>student 15</v>
      </c>
      <c r="P17" s="46">
        <f t="shared" si="8"/>
        <v>65.33</v>
      </c>
      <c r="Q17" s="47">
        <f t="shared" si="9"/>
        <v>70</v>
      </c>
      <c r="R17" s="47">
        <f t="shared" si="10"/>
        <v>60</v>
      </c>
    </row>
    <row r="18" spans="1:18" ht="15" thickBot="1" x14ac:dyDescent="0.4">
      <c r="A18" s="3">
        <v>1016</v>
      </c>
      <c r="B18" s="4" t="s">
        <v>21</v>
      </c>
      <c r="C18" s="4">
        <v>98</v>
      </c>
      <c r="D18" s="4">
        <v>77</v>
      </c>
      <c r="E18" s="15">
        <v>60</v>
      </c>
      <c r="F18" s="18">
        <v>45801</v>
      </c>
      <c r="G18" s="14">
        <f t="shared" si="0"/>
        <v>78.333333333333329</v>
      </c>
      <c r="H18" s="8" t="str">
        <f t="shared" si="1"/>
        <v>A</v>
      </c>
      <c r="I18" s="20" t="str">
        <f>IF('STUDENTS GRADE'!$G18&gt;=35,"Pass","Fail")</f>
        <v>Pass</v>
      </c>
      <c r="J18" s="4">
        <f t="shared" ca="1" si="2"/>
        <v>5</v>
      </c>
      <c r="K18" s="28">
        <f t="shared" si="3"/>
        <v>5</v>
      </c>
      <c r="L18" s="38" t="str">
        <f t="shared" si="4"/>
        <v>Eligible</v>
      </c>
      <c r="M18" s="45" t="str">
        <f t="shared" si="5"/>
        <v>Student</v>
      </c>
      <c r="N18" s="45" t="str">
        <f t="shared" si="6"/>
        <v>STUDENT 16</v>
      </c>
      <c r="O18" s="45" t="str">
        <f t="shared" si="7"/>
        <v>student 16</v>
      </c>
      <c r="P18" s="46">
        <f t="shared" si="8"/>
        <v>78.33</v>
      </c>
      <c r="Q18" s="47">
        <f t="shared" si="9"/>
        <v>80</v>
      </c>
      <c r="R18" s="47">
        <f t="shared" si="10"/>
        <v>70</v>
      </c>
    </row>
    <row r="19" spans="1:18" ht="15" thickBot="1" x14ac:dyDescent="0.4">
      <c r="A19" s="3">
        <v>1017</v>
      </c>
      <c r="B19" s="4" t="s">
        <v>22</v>
      </c>
      <c r="C19" s="4">
        <v>66</v>
      </c>
      <c r="D19" s="4">
        <v>59</v>
      </c>
      <c r="E19" s="15">
        <v>40</v>
      </c>
      <c r="F19" s="18">
        <v>45981</v>
      </c>
      <c r="G19" s="14">
        <f t="shared" si="0"/>
        <v>55</v>
      </c>
      <c r="H19" s="8" t="str">
        <f t="shared" si="1"/>
        <v>B</v>
      </c>
      <c r="I19" s="20" t="str">
        <f>IF('STUDENTS GRADE'!$G19&gt;=35,"Pass","Fail")</f>
        <v>Pass</v>
      </c>
      <c r="J19" s="4">
        <f t="shared" ca="1" si="2"/>
        <v>4</v>
      </c>
      <c r="K19" s="28">
        <f t="shared" si="3"/>
        <v>4</v>
      </c>
      <c r="L19" s="38" t="str">
        <f t="shared" si="4"/>
        <v>Not Eligible</v>
      </c>
      <c r="M19" s="45" t="str">
        <f t="shared" si="5"/>
        <v>Student</v>
      </c>
      <c r="N19" s="45" t="str">
        <f t="shared" si="6"/>
        <v>STUDENT 17</v>
      </c>
      <c r="O19" s="45" t="str">
        <f t="shared" si="7"/>
        <v>student 17</v>
      </c>
      <c r="P19" s="46">
        <f t="shared" si="8"/>
        <v>55</v>
      </c>
      <c r="Q19" s="47">
        <f t="shared" si="9"/>
        <v>60</v>
      </c>
      <c r="R19" s="47">
        <f t="shared" si="10"/>
        <v>50</v>
      </c>
    </row>
    <row r="20" spans="1:18" ht="15" thickBot="1" x14ac:dyDescent="0.4">
      <c r="A20" s="3">
        <v>1018</v>
      </c>
      <c r="B20" s="4" t="s">
        <v>23</v>
      </c>
      <c r="C20" s="4">
        <v>82</v>
      </c>
      <c r="D20" s="4">
        <v>48</v>
      </c>
      <c r="E20" s="15">
        <v>79</v>
      </c>
      <c r="F20" s="18">
        <v>46161</v>
      </c>
      <c r="G20" s="14">
        <f t="shared" si="0"/>
        <v>69.666666666666671</v>
      </c>
      <c r="H20" s="8" t="str">
        <f t="shared" si="1"/>
        <v>A</v>
      </c>
      <c r="I20" s="20" t="str">
        <f>IF('STUDENTS GRADE'!$G20&gt;=35,"Pass","Fail")</f>
        <v>Pass</v>
      </c>
      <c r="J20" s="4">
        <f t="shared" ca="1" si="2"/>
        <v>4</v>
      </c>
      <c r="K20" s="28">
        <f t="shared" si="3"/>
        <v>3</v>
      </c>
      <c r="L20" s="38" t="str">
        <f t="shared" si="4"/>
        <v>Not Eligible</v>
      </c>
      <c r="M20" s="45" t="str">
        <f t="shared" si="5"/>
        <v>Student</v>
      </c>
      <c r="N20" s="45" t="str">
        <f t="shared" si="6"/>
        <v>STUDENT 18</v>
      </c>
      <c r="O20" s="45" t="str">
        <f t="shared" si="7"/>
        <v>student 18</v>
      </c>
      <c r="P20" s="46">
        <f t="shared" si="8"/>
        <v>69.67</v>
      </c>
      <c r="Q20" s="47">
        <f t="shared" si="9"/>
        <v>70</v>
      </c>
      <c r="R20" s="47">
        <f t="shared" si="10"/>
        <v>60</v>
      </c>
    </row>
    <row r="21" spans="1:18" ht="15" thickBot="1" x14ac:dyDescent="0.4">
      <c r="A21" s="3">
        <v>1019</v>
      </c>
      <c r="B21" s="4" t="s">
        <v>24</v>
      </c>
      <c r="C21" s="4">
        <v>90</v>
      </c>
      <c r="D21" s="4">
        <v>78</v>
      </c>
      <c r="E21" s="15">
        <v>60</v>
      </c>
      <c r="F21" s="18">
        <v>46341</v>
      </c>
      <c r="G21" s="14">
        <f t="shared" si="0"/>
        <v>76</v>
      </c>
      <c r="H21" s="8" t="str">
        <f t="shared" si="1"/>
        <v>A</v>
      </c>
      <c r="I21" s="20" t="str">
        <f>IF('STUDENTS GRADE'!$G21&gt;=35,"Pass","Fail")</f>
        <v>Pass</v>
      </c>
      <c r="J21" s="4">
        <f t="shared" ca="1" si="2"/>
        <v>3</v>
      </c>
      <c r="K21" s="28">
        <f t="shared" si="3"/>
        <v>2</v>
      </c>
      <c r="L21" s="38" t="str">
        <f t="shared" si="4"/>
        <v>Eligible</v>
      </c>
      <c r="M21" s="45" t="str">
        <f t="shared" si="5"/>
        <v>Student</v>
      </c>
      <c r="N21" s="45" t="str">
        <f t="shared" si="6"/>
        <v>STUDENT 19</v>
      </c>
      <c r="O21" s="45" t="str">
        <f t="shared" si="7"/>
        <v>student 19</v>
      </c>
      <c r="P21" s="46">
        <f t="shared" si="8"/>
        <v>76</v>
      </c>
      <c r="Q21" s="47">
        <f t="shared" si="9"/>
        <v>80</v>
      </c>
      <c r="R21" s="47">
        <f t="shared" si="10"/>
        <v>70</v>
      </c>
    </row>
    <row r="22" spans="1:18" ht="15" thickBot="1" x14ac:dyDescent="0.4">
      <c r="A22" s="3">
        <v>1020</v>
      </c>
      <c r="B22" s="4" t="s">
        <v>25</v>
      </c>
      <c r="C22" s="4">
        <v>83</v>
      </c>
      <c r="D22" s="4">
        <v>92</v>
      </c>
      <c r="E22" s="15">
        <v>55</v>
      </c>
      <c r="F22" s="19">
        <v>46521</v>
      </c>
      <c r="G22" s="14">
        <f t="shared" si="0"/>
        <v>76.666666666666671</v>
      </c>
      <c r="H22" s="9" t="str">
        <f t="shared" si="1"/>
        <v>A</v>
      </c>
      <c r="I22" s="20" t="str">
        <f>IF('STUDENTS GRADE'!$G22&gt;=35,"Pass","Fail")</f>
        <v>Pass</v>
      </c>
      <c r="J22" s="4">
        <f t="shared" ca="1" si="2"/>
        <v>2</v>
      </c>
      <c r="K22" s="28">
        <f t="shared" si="3"/>
        <v>1</v>
      </c>
      <c r="L22" s="39" t="str">
        <f t="shared" si="4"/>
        <v>Eligible</v>
      </c>
      <c r="M22" s="45" t="str">
        <f t="shared" si="5"/>
        <v>Student</v>
      </c>
      <c r="N22" s="45" t="str">
        <f t="shared" si="6"/>
        <v>STUDENT 20</v>
      </c>
      <c r="O22" s="45" t="str">
        <f t="shared" si="7"/>
        <v>student 20</v>
      </c>
      <c r="P22" s="46">
        <f t="shared" si="8"/>
        <v>76.67</v>
      </c>
      <c r="Q22" s="47">
        <f t="shared" si="9"/>
        <v>80</v>
      </c>
      <c r="R22" s="47">
        <f t="shared" si="10"/>
        <v>70</v>
      </c>
    </row>
    <row r="24" spans="1:18" ht="20.25" customHeight="1" x14ac:dyDescent="0.45">
      <c r="F24" s="59" t="s">
        <v>97</v>
      </c>
      <c r="G24" s="60">
        <f>COUNTIF(G3:G22,"&gt;80")</f>
        <v>2</v>
      </c>
    </row>
    <row r="25" spans="1:18" x14ac:dyDescent="0.35">
      <c r="F25" s="61"/>
      <c r="G25" s="61"/>
    </row>
    <row r="26" spans="1:18" ht="37" x14ac:dyDescent="0.35">
      <c r="F26" s="62" t="s">
        <v>106</v>
      </c>
      <c r="G26" s="63">
        <f ca="1">SUM(INDIRECT("C2:C21"))</f>
        <v>1521</v>
      </c>
      <c r="I26" s="51" t="s">
        <v>117</v>
      </c>
      <c r="J26" s="51"/>
      <c r="K26" s="51"/>
      <c r="L26" s="51"/>
      <c r="M26" s="51"/>
      <c r="N26" s="51"/>
    </row>
    <row r="27" spans="1:18" x14ac:dyDescent="0.35">
      <c r="I27" s="30" t="str" cm="1">
        <f t="array" ref="I27:N29">_xlfn._xlws.FILTER(B2:G21, G2:G21&gt;80)</f>
        <v>Name</v>
      </c>
      <c r="J27" s="30" t="str">
        <v>Math</v>
      </c>
      <c r="K27" s="30" t="str">
        <v>Science</v>
      </c>
      <c r="L27" s="30" t="str">
        <v>English</v>
      </c>
      <c r="M27" s="30" t="str">
        <v>Enrollment Date</v>
      </c>
      <c r="N27" s="30" t="str">
        <v>Avg Marks</v>
      </c>
    </row>
    <row r="28" spans="1:18" x14ac:dyDescent="0.35">
      <c r="I28" s="30" t="str">
        <v>Student 12</v>
      </c>
      <c r="J28" s="30">
        <v>85</v>
      </c>
      <c r="K28" s="30">
        <v>89</v>
      </c>
      <c r="L28" s="30">
        <v>79</v>
      </c>
      <c r="M28" s="49">
        <v>45081</v>
      </c>
      <c r="N28" s="30">
        <v>84.333333333333329</v>
      </c>
    </row>
    <row r="29" spans="1:18" x14ac:dyDescent="0.35">
      <c r="I29" s="30" t="str">
        <v>Student 13</v>
      </c>
      <c r="J29" s="30">
        <v>98</v>
      </c>
      <c r="K29" s="30">
        <v>90</v>
      </c>
      <c r="L29" s="30">
        <v>97</v>
      </c>
      <c r="M29" s="49">
        <v>45261</v>
      </c>
      <c r="N29" s="30">
        <v>95</v>
      </c>
    </row>
  </sheetData>
  <autoFilter ref="A2:L2"/>
  <mergeCells count="1">
    <mergeCell ref="I26:N26"/>
  </mergeCells>
  <pageMargins left="0.7" right="0.7" top="0.75" bottom="0.75" header="0.3" footer="0.3"/>
  <pageSetup orientation="portrait" r:id="rId1"/>
  <ignoredErrors>
    <ignoredError sqref="G4:G2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zoomScale="85" zoomScaleNormal="85" workbookViewId="0">
      <pane xSplit="2" ySplit="2" topLeftCell="D9" activePane="bottomRight" state="frozen"/>
      <selection pane="topRight" activeCell="C1" sqref="C1"/>
      <selection pane="bottomLeft" activeCell="A3" sqref="A3"/>
      <selection pane="bottomRight" activeCell="E26" sqref="D24:E26"/>
    </sheetView>
  </sheetViews>
  <sheetFormatPr defaultColWidth="23.08984375" defaultRowHeight="14.5" x14ac:dyDescent="0.35"/>
  <cols>
    <col min="1" max="1" width="10" customWidth="1"/>
    <col min="2" max="2" width="13.90625" customWidth="1"/>
    <col min="3" max="3" width="9.36328125" customWidth="1"/>
    <col min="4" max="4" width="26.36328125" bestFit="1" customWidth="1"/>
    <col min="5" max="6" width="14.90625" customWidth="1"/>
    <col min="8" max="8" width="10.08984375" customWidth="1"/>
    <col min="9" max="9" width="16" customWidth="1"/>
    <col min="10" max="10" width="11.08984375" customWidth="1"/>
    <col min="11" max="11" width="23.81640625" bestFit="1" customWidth="1"/>
  </cols>
  <sheetData>
    <row r="1" spans="1:12" ht="28.5" customHeight="1" thickBot="1" x14ac:dyDescent="0.4">
      <c r="H1" s="64" t="s">
        <v>99</v>
      </c>
      <c r="I1" s="64"/>
      <c r="J1" s="64" t="s">
        <v>101</v>
      </c>
    </row>
    <row r="2" spans="1:12" ht="30" customHeight="1" thickBot="1" x14ac:dyDescent="0.4">
      <c r="A2" s="1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H2" s="65" t="s">
        <v>26</v>
      </c>
      <c r="I2" s="66" t="s">
        <v>100</v>
      </c>
      <c r="J2" s="64"/>
    </row>
    <row r="3" spans="1:12" ht="15" thickBot="1" x14ac:dyDescent="0.4">
      <c r="A3" s="3">
        <v>2001</v>
      </c>
      <c r="B3" s="4" t="s">
        <v>32</v>
      </c>
      <c r="C3" s="4" t="s">
        <v>33</v>
      </c>
      <c r="D3" s="4" t="s">
        <v>34</v>
      </c>
      <c r="E3" s="4">
        <v>7048</v>
      </c>
      <c r="F3" s="12">
        <v>44927</v>
      </c>
      <c r="H3" s="21">
        <v>2001</v>
      </c>
      <c r="I3" s="22">
        <f>VLOOKUP(H3,A3:E22,5,0)</f>
        <v>7048</v>
      </c>
      <c r="J3" s="23">
        <f>IF(E3&gt;=40000,20%,IF(E3&gt;=30000,15%,IF(E3&gt;=20000,10%,5%)))</f>
        <v>0.05</v>
      </c>
    </row>
    <row r="4" spans="1:12" ht="15" thickBot="1" x14ac:dyDescent="0.4">
      <c r="A4" s="3">
        <v>2002</v>
      </c>
      <c r="B4" s="4" t="s">
        <v>35</v>
      </c>
      <c r="C4" s="4" t="s">
        <v>36</v>
      </c>
      <c r="D4" s="4" t="s">
        <v>37</v>
      </c>
      <c r="E4" s="4">
        <v>17428</v>
      </c>
      <c r="F4" s="12">
        <v>44942</v>
      </c>
      <c r="H4" s="21">
        <v>2002</v>
      </c>
      <c r="I4" s="22">
        <f t="shared" ref="I4:I22" si="0">VLOOKUP(H4,A4:E23,5,0)</f>
        <v>17428</v>
      </c>
      <c r="J4" s="23">
        <f t="shared" ref="J4:J22" si="1">IF(E4&gt;=40000,20%,IF(E4&gt;=30000,15%,IF(E4&gt;=20000,10%,5%)))</f>
        <v>0.05</v>
      </c>
      <c r="L4" s="53" t="s">
        <v>105</v>
      </c>
    </row>
    <row r="5" spans="1:12" ht="15" thickBot="1" x14ac:dyDescent="0.4">
      <c r="A5" s="3">
        <v>2003</v>
      </c>
      <c r="B5" s="4" t="s">
        <v>38</v>
      </c>
      <c r="C5" s="4" t="s">
        <v>33</v>
      </c>
      <c r="D5" s="4" t="s">
        <v>39</v>
      </c>
      <c r="E5" s="4">
        <v>23672</v>
      </c>
      <c r="F5" s="12">
        <v>44957</v>
      </c>
      <c r="H5" s="21">
        <v>2003</v>
      </c>
      <c r="I5" s="22">
        <f t="shared" si="0"/>
        <v>23672</v>
      </c>
      <c r="J5" s="23">
        <f t="shared" si="1"/>
        <v>0.1</v>
      </c>
      <c r="L5" s="53"/>
    </row>
    <row r="6" spans="1:12" ht="15" thickBot="1" x14ac:dyDescent="0.4">
      <c r="A6" s="3">
        <v>2004</v>
      </c>
      <c r="B6" s="4" t="s">
        <v>35</v>
      </c>
      <c r="C6" s="4" t="s">
        <v>40</v>
      </c>
      <c r="D6" s="4" t="s">
        <v>41</v>
      </c>
      <c r="E6" s="4">
        <v>5264</v>
      </c>
      <c r="F6" s="12">
        <v>44972</v>
      </c>
      <c r="H6" s="21">
        <v>2004</v>
      </c>
      <c r="I6" s="22">
        <f t="shared" si="0"/>
        <v>5264</v>
      </c>
      <c r="J6" s="23">
        <f t="shared" si="1"/>
        <v>0.05</v>
      </c>
      <c r="L6" s="25">
        <f>_xlfn.XMATCH("Mouse",B:B)</f>
        <v>5</v>
      </c>
    </row>
    <row r="7" spans="1:12" ht="15" thickBot="1" x14ac:dyDescent="0.4">
      <c r="A7" s="3">
        <v>2005</v>
      </c>
      <c r="B7" s="4" t="s">
        <v>32</v>
      </c>
      <c r="C7" s="4" t="s">
        <v>42</v>
      </c>
      <c r="D7" s="4" t="s">
        <v>43</v>
      </c>
      <c r="E7" s="4">
        <v>43388</v>
      </c>
      <c r="F7" s="12">
        <v>44987</v>
      </c>
      <c r="H7" s="21">
        <v>2005</v>
      </c>
      <c r="I7" s="22">
        <f t="shared" si="0"/>
        <v>43388</v>
      </c>
      <c r="J7" s="23">
        <f t="shared" si="1"/>
        <v>0.2</v>
      </c>
    </row>
    <row r="8" spans="1:12" ht="15" thickBot="1" x14ac:dyDescent="0.4">
      <c r="A8" s="3">
        <v>2006</v>
      </c>
      <c r="B8" s="4" t="s">
        <v>38</v>
      </c>
      <c r="C8" s="4" t="s">
        <v>42</v>
      </c>
      <c r="D8" s="4" t="s">
        <v>44</v>
      </c>
      <c r="E8" s="4">
        <v>19757</v>
      </c>
      <c r="F8" s="12">
        <v>45002</v>
      </c>
      <c r="H8" s="21">
        <v>2006</v>
      </c>
      <c r="I8" s="22">
        <f t="shared" si="0"/>
        <v>19757</v>
      </c>
      <c r="J8" s="23">
        <f t="shared" si="1"/>
        <v>0.05</v>
      </c>
    </row>
    <row r="9" spans="1:12" ht="15" thickBot="1" x14ac:dyDescent="0.4">
      <c r="A9" s="3">
        <v>2007</v>
      </c>
      <c r="B9" s="4" t="s">
        <v>38</v>
      </c>
      <c r="C9" s="4" t="s">
        <v>40</v>
      </c>
      <c r="D9" s="4" t="s">
        <v>45</v>
      </c>
      <c r="E9" s="4">
        <v>32058</v>
      </c>
      <c r="F9" s="12">
        <v>45017</v>
      </c>
      <c r="H9" s="21">
        <v>2007</v>
      </c>
      <c r="I9" s="22">
        <f t="shared" si="0"/>
        <v>32058</v>
      </c>
      <c r="J9" s="23">
        <f t="shared" si="1"/>
        <v>0.15</v>
      </c>
      <c r="L9" s="54" t="s">
        <v>107</v>
      </c>
    </row>
    <row r="10" spans="1:12" ht="15" thickBot="1" x14ac:dyDescent="0.4">
      <c r="A10" s="3">
        <v>2008</v>
      </c>
      <c r="B10" s="4" t="s">
        <v>32</v>
      </c>
      <c r="C10" s="4" t="s">
        <v>40</v>
      </c>
      <c r="D10" s="4" t="s">
        <v>46</v>
      </c>
      <c r="E10" s="4">
        <v>46429</v>
      </c>
      <c r="F10" s="12">
        <v>45032</v>
      </c>
      <c r="H10" s="21">
        <v>2008</v>
      </c>
      <c r="I10" s="22">
        <f t="shared" si="0"/>
        <v>46429</v>
      </c>
      <c r="J10" s="23">
        <f t="shared" si="1"/>
        <v>0.2</v>
      </c>
      <c r="L10" s="54"/>
    </row>
    <row r="11" spans="1:12" ht="19" thickBot="1" x14ac:dyDescent="0.5">
      <c r="A11" s="3">
        <v>2009</v>
      </c>
      <c r="B11" s="4" t="s">
        <v>35</v>
      </c>
      <c r="C11" s="4" t="s">
        <v>40</v>
      </c>
      <c r="D11" s="4" t="s">
        <v>47</v>
      </c>
      <c r="E11" s="4">
        <v>19746</v>
      </c>
      <c r="F11" s="12">
        <v>45047</v>
      </c>
      <c r="H11" s="21">
        <v>2009</v>
      </c>
      <c r="I11" s="22">
        <f t="shared" si="0"/>
        <v>19746</v>
      </c>
      <c r="J11" s="23">
        <f t="shared" si="1"/>
        <v>0.05</v>
      </c>
      <c r="L11" s="29">
        <f ca="1">SUM(OFFSET(E2,0,0,5,1))</f>
        <v>53412</v>
      </c>
    </row>
    <row r="12" spans="1:12" ht="15" thickBot="1" x14ac:dyDescent="0.4">
      <c r="A12" s="3">
        <v>2010</v>
      </c>
      <c r="B12" s="4" t="s">
        <v>32</v>
      </c>
      <c r="C12" s="4" t="s">
        <v>33</v>
      </c>
      <c r="D12" s="4" t="s">
        <v>48</v>
      </c>
      <c r="E12" s="4">
        <v>35185</v>
      </c>
      <c r="F12" s="12">
        <v>45062</v>
      </c>
      <c r="H12" s="21">
        <v>2010</v>
      </c>
      <c r="I12" s="22">
        <f t="shared" si="0"/>
        <v>35185</v>
      </c>
      <c r="J12" s="23">
        <f t="shared" si="1"/>
        <v>0.15</v>
      </c>
    </row>
    <row r="13" spans="1:12" ht="15" customHeight="1" thickBot="1" x14ac:dyDescent="0.4">
      <c r="A13" s="3">
        <v>2011</v>
      </c>
      <c r="B13" s="4" t="s">
        <v>32</v>
      </c>
      <c r="C13" s="4" t="s">
        <v>40</v>
      </c>
      <c r="D13" s="4" t="s">
        <v>49</v>
      </c>
      <c r="E13" s="4">
        <v>33920</v>
      </c>
      <c r="F13" s="12">
        <v>45077</v>
      </c>
      <c r="H13" s="21">
        <v>2011</v>
      </c>
      <c r="I13" s="22">
        <f t="shared" si="0"/>
        <v>33920</v>
      </c>
      <c r="J13" s="23">
        <f t="shared" si="1"/>
        <v>0.15</v>
      </c>
    </row>
    <row r="14" spans="1:12" ht="15" customHeight="1" thickBot="1" x14ac:dyDescent="0.4">
      <c r="A14" s="3">
        <v>2012</v>
      </c>
      <c r="B14" s="4" t="s">
        <v>50</v>
      </c>
      <c r="C14" s="4" t="s">
        <v>42</v>
      </c>
      <c r="D14" s="4" t="s">
        <v>51</v>
      </c>
      <c r="E14" s="4">
        <v>35611</v>
      </c>
      <c r="F14" s="12">
        <v>45092</v>
      </c>
      <c r="H14" s="21">
        <v>2012</v>
      </c>
      <c r="I14" s="22">
        <f t="shared" si="0"/>
        <v>35611</v>
      </c>
      <c r="J14" s="23">
        <f t="shared" si="1"/>
        <v>0.15</v>
      </c>
      <c r="L14" s="52" t="s">
        <v>113</v>
      </c>
    </row>
    <row r="15" spans="1:12" ht="15" customHeight="1" thickBot="1" x14ac:dyDescent="0.4">
      <c r="A15" s="3">
        <v>2013</v>
      </c>
      <c r="B15" s="4" t="s">
        <v>52</v>
      </c>
      <c r="C15" s="4" t="s">
        <v>40</v>
      </c>
      <c r="D15" s="4" t="s">
        <v>53</v>
      </c>
      <c r="E15" s="4">
        <v>15560</v>
      </c>
      <c r="F15" s="12">
        <v>45107</v>
      </c>
      <c r="H15" s="21">
        <v>2013</v>
      </c>
      <c r="I15" s="22">
        <f t="shared" si="0"/>
        <v>15560</v>
      </c>
      <c r="J15" s="23">
        <f t="shared" si="1"/>
        <v>0.05</v>
      </c>
      <c r="L15" s="52"/>
    </row>
    <row r="16" spans="1:12" ht="15" customHeight="1" thickBot="1" x14ac:dyDescent="0.4">
      <c r="A16" s="3">
        <v>2014</v>
      </c>
      <c r="B16" s="4" t="s">
        <v>52</v>
      </c>
      <c r="C16" s="4" t="s">
        <v>33</v>
      </c>
      <c r="D16" s="4" t="s">
        <v>54</v>
      </c>
      <c r="E16" s="4">
        <v>7283</v>
      </c>
      <c r="F16" s="12">
        <v>45122</v>
      </c>
      <c r="H16" s="21">
        <v>2014</v>
      </c>
      <c r="I16" s="22">
        <f t="shared" si="0"/>
        <v>7283</v>
      </c>
      <c r="J16" s="23">
        <f t="shared" si="1"/>
        <v>0.05</v>
      </c>
      <c r="L16" s="25">
        <f>INDEX(E:E, MATCH("Person 8", D:D, 0))</f>
        <v>46429</v>
      </c>
    </row>
    <row r="17" spans="1:10" ht="15" thickBot="1" x14ac:dyDescent="0.4">
      <c r="A17" s="3">
        <v>2015</v>
      </c>
      <c r="B17" s="4" t="s">
        <v>52</v>
      </c>
      <c r="C17" s="4" t="s">
        <v>40</v>
      </c>
      <c r="D17" s="4" t="s">
        <v>55</v>
      </c>
      <c r="E17" s="4">
        <v>15678</v>
      </c>
      <c r="F17" s="12">
        <v>45137</v>
      </c>
      <c r="H17" s="21">
        <v>2015</v>
      </c>
      <c r="I17" s="22">
        <f t="shared" si="0"/>
        <v>15678</v>
      </c>
      <c r="J17" s="23">
        <f t="shared" si="1"/>
        <v>0.05</v>
      </c>
    </row>
    <row r="18" spans="1:10" ht="15" thickBot="1" x14ac:dyDescent="0.4">
      <c r="A18" s="3">
        <v>2016</v>
      </c>
      <c r="B18" s="4" t="s">
        <v>38</v>
      </c>
      <c r="C18" s="4" t="s">
        <v>40</v>
      </c>
      <c r="D18" s="4" t="s">
        <v>56</v>
      </c>
      <c r="E18" s="4">
        <v>5277</v>
      </c>
      <c r="F18" s="12">
        <v>45152</v>
      </c>
      <c r="H18" s="21">
        <v>2016</v>
      </c>
      <c r="I18" s="22">
        <f t="shared" si="0"/>
        <v>5277</v>
      </c>
      <c r="J18" s="23">
        <f t="shared" si="1"/>
        <v>0.05</v>
      </c>
    </row>
    <row r="19" spans="1:10" ht="15" thickBot="1" x14ac:dyDescent="0.4">
      <c r="A19" s="3">
        <v>2017</v>
      </c>
      <c r="B19" s="4" t="s">
        <v>50</v>
      </c>
      <c r="C19" s="4" t="s">
        <v>42</v>
      </c>
      <c r="D19" s="4" t="s">
        <v>57</v>
      </c>
      <c r="E19" s="4">
        <v>41871</v>
      </c>
      <c r="F19" s="12">
        <v>45167</v>
      </c>
      <c r="H19" s="21">
        <v>2017</v>
      </c>
      <c r="I19" s="22">
        <f t="shared" si="0"/>
        <v>41871</v>
      </c>
      <c r="J19" s="23">
        <f t="shared" si="1"/>
        <v>0.2</v>
      </c>
    </row>
    <row r="20" spans="1:10" ht="15" thickBot="1" x14ac:dyDescent="0.4">
      <c r="A20" s="3">
        <v>2018</v>
      </c>
      <c r="B20" s="4" t="s">
        <v>50</v>
      </c>
      <c r="C20" s="4" t="s">
        <v>36</v>
      </c>
      <c r="D20" s="4" t="s">
        <v>58</v>
      </c>
      <c r="E20" s="4">
        <v>38161</v>
      </c>
      <c r="F20" s="12">
        <v>45182</v>
      </c>
      <c r="H20" s="21">
        <v>2018</v>
      </c>
      <c r="I20" s="22">
        <f t="shared" si="0"/>
        <v>38161</v>
      </c>
      <c r="J20" s="23">
        <f t="shared" si="1"/>
        <v>0.15</v>
      </c>
    </row>
    <row r="21" spans="1:10" ht="15" thickBot="1" x14ac:dyDescent="0.4">
      <c r="A21" s="3">
        <v>2019</v>
      </c>
      <c r="B21" s="4" t="s">
        <v>38</v>
      </c>
      <c r="C21" s="4" t="s">
        <v>36</v>
      </c>
      <c r="D21" s="4" t="s">
        <v>59</v>
      </c>
      <c r="E21" s="4">
        <v>30436</v>
      </c>
      <c r="F21" s="12">
        <v>45197</v>
      </c>
      <c r="H21" s="21">
        <v>2019</v>
      </c>
      <c r="I21" s="22">
        <f t="shared" si="0"/>
        <v>30436</v>
      </c>
      <c r="J21" s="23">
        <f t="shared" si="1"/>
        <v>0.15</v>
      </c>
    </row>
    <row r="22" spans="1:10" ht="15" thickBot="1" x14ac:dyDescent="0.4">
      <c r="A22" s="3">
        <v>2020</v>
      </c>
      <c r="B22" s="4" t="s">
        <v>35</v>
      </c>
      <c r="C22" s="4" t="s">
        <v>36</v>
      </c>
      <c r="D22" s="4" t="s">
        <v>60</v>
      </c>
      <c r="E22" s="4">
        <v>33953</v>
      </c>
      <c r="F22" s="12">
        <v>45212</v>
      </c>
      <c r="H22" s="21">
        <v>2020</v>
      </c>
      <c r="I22" s="22">
        <f t="shared" si="0"/>
        <v>33953</v>
      </c>
      <c r="J22" s="23">
        <f t="shared" si="1"/>
        <v>0.15</v>
      </c>
    </row>
    <row r="24" spans="1:10" x14ac:dyDescent="0.35">
      <c r="D24" s="67" t="s">
        <v>102</v>
      </c>
      <c r="E24" s="67">
        <f>SUBTOTAL(9,E6:E22)</f>
        <v>459577</v>
      </c>
    </row>
    <row r="25" spans="1:10" x14ac:dyDescent="0.35">
      <c r="D25" s="68"/>
      <c r="E25" s="68"/>
    </row>
    <row r="26" spans="1:10" ht="31" x14ac:dyDescent="0.35">
      <c r="D26" s="69" t="s">
        <v>103</v>
      </c>
      <c r="E26" s="70">
        <f>SUMIFS(E2:E22, B2:B22,"Keyboard", C2:C22,"East")</f>
        <v>80349</v>
      </c>
    </row>
  </sheetData>
  <autoFilter ref="A2:F2"/>
  <mergeCells count="5">
    <mergeCell ref="L14:L15"/>
    <mergeCell ref="H1:I1"/>
    <mergeCell ref="J1:J2"/>
    <mergeCell ref="L4:L5"/>
    <mergeCell ref="L9:L10"/>
  </mergeCells>
  <pageMargins left="0.7" right="0.7" top="0.75" bottom="0.75" header="0.3" footer="0.3"/>
  <ignoredErrors>
    <ignoredError sqref="E24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L10" sqref="L10"/>
    </sheetView>
  </sheetViews>
  <sheetFormatPr defaultRowHeight="14.5" x14ac:dyDescent="0.35"/>
  <cols>
    <col min="1" max="1" width="14.6328125" customWidth="1"/>
    <col min="2" max="2" width="14.453125" customWidth="1"/>
    <col min="3" max="3" width="16.54296875" customWidth="1"/>
    <col min="4" max="4" width="12.453125" customWidth="1"/>
    <col min="5" max="5" width="16.453125" bestFit="1" customWidth="1"/>
    <col min="6" max="6" width="19" customWidth="1"/>
    <col min="7" max="7" width="17.453125" customWidth="1"/>
    <col min="8" max="8" width="14.54296875" bestFit="1" customWidth="1"/>
    <col min="10" max="10" width="14.81640625" bestFit="1" customWidth="1"/>
    <col min="11" max="11" width="11.1796875" customWidth="1"/>
    <col min="12" max="12" width="12.08984375" customWidth="1"/>
    <col min="13" max="13" width="8.54296875" customWidth="1"/>
    <col min="14" max="14" width="12.36328125" customWidth="1"/>
    <col min="15" max="15" width="12.36328125" bestFit="1" customWidth="1"/>
  </cols>
  <sheetData>
    <row r="1" spans="1:14" ht="15" thickBot="1" x14ac:dyDescent="0.4"/>
    <row r="2" spans="1:14" ht="40.75" customHeight="1" thickBot="1" x14ac:dyDescent="0.4">
      <c r="A2" s="31" t="s">
        <v>61</v>
      </c>
      <c r="B2" s="32" t="s">
        <v>1</v>
      </c>
      <c r="C2" s="32" t="s">
        <v>62</v>
      </c>
      <c r="D2" s="32" t="s">
        <v>63</v>
      </c>
      <c r="E2" s="33" t="s">
        <v>64</v>
      </c>
      <c r="F2" s="71" t="s">
        <v>104</v>
      </c>
      <c r="G2" s="72" t="s">
        <v>108</v>
      </c>
      <c r="H2" s="72" t="s">
        <v>109</v>
      </c>
      <c r="J2" s="40" t="s">
        <v>61</v>
      </c>
      <c r="K2" s="40" t="s">
        <v>1</v>
      </c>
      <c r="L2" s="40" t="s">
        <v>62</v>
      </c>
      <c r="M2" s="40" t="s">
        <v>63</v>
      </c>
      <c r="N2" s="40" t="s">
        <v>64</v>
      </c>
    </row>
    <row r="3" spans="1:14" ht="15" thickBot="1" x14ac:dyDescent="0.4">
      <c r="A3" s="3">
        <v>3001</v>
      </c>
      <c r="B3" s="4" t="s">
        <v>65</v>
      </c>
      <c r="C3" s="4" t="s">
        <v>66</v>
      </c>
      <c r="D3" s="15">
        <v>86766</v>
      </c>
      <c r="E3" s="17">
        <v>42005</v>
      </c>
      <c r="F3" s="34">
        <f>YEAR(E3)</f>
        <v>2015</v>
      </c>
      <c r="G3" s="34">
        <f ca="1">IF(E3&gt;TODAY(),"",DATEDIF(E3,TODAY(),"Y"))</f>
        <v>11</v>
      </c>
      <c r="H3" s="37">
        <f>E4-E3</f>
        <v>250</v>
      </c>
      <c r="J3" s="40">
        <v>3002</v>
      </c>
      <c r="K3" s="24" t="str">
        <f t="array" ref="K3:N3">_xlfn.XLOOKUP(J3,A:A,B:E)</f>
        <v>Employee 2</v>
      </c>
      <c r="L3" s="24" t="str">
        <v>Finance</v>
      </c>
      <c r="M3" s="24">
        <v>31943</v>
      </c>
      <c r="N3" s="50">
        <v>42255</v>
      </c>
    </row>
    <row r="4" spans="1:14" ht="15" thickBot="1" x14ac:dyDescent="0.4">
      <c r="A4" s="3">
        <v>3002</v>
      </c>
      <c r="B4" s="4" t="s">
        <v>67</v>
      </c>
      <c r="C4" s="4" t="s">
        <v>66</v>
      </c>
      <c r="D4" s="15">
        <v>31943</v>
      </c>
      <c r="E4" s="18">
        <v>42255</v>
      </c>
      <c r="F4" s="35">
        <f t="shared" ref="F4:F22" si="0">YEAR(E4)</f>
        <v>2015</v>
      </c>
      <c r="G4" s="35">
        <f t="shared" ref="G4:G22" ca="1" si="1">IF(E4&gt;TODAY(),"",DATEDIF(E4,TODAY(),"Y"))</f>
        <v>10</v>
      </c>
      <c r="H4" s="37">
        <f t="shared" ref="H4:H21" si="2">E5-E4</f>
        <v>250</v>
      </c>
    </row>
    <row r="5" spans="1:14" ht="15" thickBot="1" x14ac:dyDescent="0.4">
      <c r="A5" s="3">
        <v>3003</v>
      </c>
      <c r="B5" s="4" t="s">
        <v>68</v>
      </c>
      <c r="C5" s="4" t="s">
        <v>69</v>
      </c>
      <c r="D5" s="15">
        <v>63374</v>
      </c>
      <c r="E5" s="18">
        <v>42505</v>
      </c>
      <c r="F5" s="35">
        <f t="shared" si="0"/>
        <v>2016</v>
      </c>
      <c r="G5" s="35">
        <f t="shared" ca="1" si="1"/>
        <v>9</v>
      </c>
      <c r="H5" s="37">
        <f t="shared" si="2"/>
        <v>250</v>
      </c>
      <c r="J5" s="51" t="s">
        <v>118</v>
      </c>
      <c r="K5" s="51">
        <f>INDEX(D:D,MATCH(J3,A:A,0))</f>
        <v>31943</v>
      </c>
    </row>
    <row r="6" spans="1:14" ht="15" thickBot="1" x14ac:dyDescent="0.4">
      <c r="A6" s="3">
        <v>3004</v>
      </c>
      <c r="B6" s="4" t="s">
        <v>70</v>
      </c>
      <c r="C6" s="4" t="s">
        <v>66</v>
      </c>
      <c r="D6" s="15">
        <v>109972</v>
      </c>
      <c r="E6" s="18">
        <v>42755</v>
      </c>
      <c r="F6" s="35">
        <f t="shared" si="0"/>
        <v>2017</v>
      </c>
      <c r="G6" s="35">
        <f t="shared" ca="1" si="1"/>
        <v>8</v>
      </c>
      <c r="H6" s="37">
        <f t="shared" si="2"/>
        <v>250</v>
      </c>
      <c r="J6" s="51"/>
      <c r="K6" s="51"/>
    </row>
    <row r="7" spans="1:14" ht="15" thickBot="1" x14ac:dyDescent="0.4">
      <c r="A7" s="3">
        <v>3005</v>
      </c>
      <c r="B7" s="4" t="s">
        <v>71</v>
      </c>
      <c r="C7" s="4" t="s">
        <v>72</v>
      </c>
      <c r="D7" s="15">
        <v>54149</v>
      </c>
      <c r="E7" s="18">
        <v>43005</v>
      </c>
      <c r="F7" s="35">
        <f t="shared" si="0"/>
        <v>2017</v>
      </c>
      <c r="G7" s="35">
        <f t="shared" ca="1" si="1"/>
        <v>8</v>
      </c>
      <c r="H7" s="37">
        <f t="shared" si="2"/>
        <v>250</v>
      </c>
    </row>
    <row r="8" spans="1:14" ht="15" thickBot="1" x14ac:dyDescent="0.4">
      <c r="A8" s="3">
        <v>3006</v>
      </c>
      <c r="B8" s="4" t="s">
        <v>73</v>
      </c>
      <c r="C8" s="4" t="s">
        <v>72</v>
      </c>
      <c r="D8" s="15">
        <v>78689</v>
      </c>
      <c r="E8" s="18">
        <v>43255</v>
      </c>
      <c r="F8" s="35">
        <f t="shared" si="0"/>
        <v>2018</v>
      </c>
      <c r="G8" s="35">
        <f t="shared" ca="1" si="1"/>
        <v>7</v>
      </c>
      <c r="H8" s="37">
        <f t="shared" si="2"/>
        <v>250</v>
      </c>
    </row>
    <row r="9" spans="1:14" ht="15" thickBot="1" x14ac:dyDescent="0.4">
      <c r="A9" s="3">
        <v>3007</v>
      </c>
      <c r="B9" s="4" t="s">
        <v>74</v>
      </c>
      <c r="C9" s="4" t="s">
        <v>75</v>
      </c>
      <c r="D9" s="15">
        <v>35960</v>
      </c>
      <c r="E9" s="18">
        <v>43505</v>
      </c>
      <c r="F9" s="35">
        <f t="shared" si="0"/>
        <v>2019</v>
      </c>
      <c r="G9" s="35">
        <f t="shared" ca="1" si="1"/>
        <v>6</v>
      </c>
      <c r="H9" s="37">
        <f t="shared" si="2"/>
        <v>250</v>
      </c>
    </row>
    <row r="10" spans="1:14" ht="15" thickBot="1" x14ac:dyDescent="0.4">
      <c r="A10" s="3">
        <v>3008</v>
      </c>
      <c r="B10" s="4" t="s">
        <v>76</v>
      </c>
      <c r="C10" s="4" t="s">
        <v>72</v>
      </c>
      <c r="D10" s="15">
        <v>91659</v>
      </c>
      <c r="E10" s="18">
        <v>43755</v>
      </c>
      <c r="F10" s="35">
        <f t="shared" si="0"/>
        <v>2019</v>
      </c>
      <c r="G10" s="35">
        <f t="shared" ca="1" si="1"/>
        <v>6</v>
      </c>
      <c r="H10" s="37">
        <f t="shared" si="2"/>
        <v>250</v>
      </c>
    </row>
    <row r="11" spans="1:14" ht="15" thickBot="1" x14ac:dyDescent="0.4">
      <c r="A11" s="3">
        <v>3009</v>
      </c>
      <c r="B11" s="4" t="s">
        <v>77</v>
      </c>
      <c r="C11" s="4" t="s">
        <v>72</v>
      </c>
      <c r="D11" s="15">
        <v>90423</v>
      </c>
      <c r="E11" s="18">
        <v>44005</v>
      </c>
      <c r="F11" s="35">
        <f t="shared" si="0"/>
        <v>2020</v>
      </c>
      <c r="G11" s="35">
        <f t="shared" ca="1" si="1"/>
        <v>5</v>
      </c>
      <c r="H11" s="37">
        <f t="shared" si="2"/>
        <v>250</v>
      </c>
    </row>
    <row r="12" spans="1:14" ht="15" thickBot="1" x14ac:dyDescent="0.4">
      <c r="A12" s="3">
        <v>3010</v>
      </c>
      <c r="B12" s="4" t="s">
        <v>78</v>
      </c>
      <c r="C12" s="4" t="s">
        <v>69</v>
      </c>
      <c r="D12" s="15">
        <v>107877</v>
      </c>
      <c r="E12" s="18">
        <v>44255</v>
      </c>
      <c r="F12" s="35">
        <f t="shared" si="0"/>
        <v>2021</v>
      </c>
      <c r="G12" s="35">
        <f t="shared" ca="1" si="1"/>
        <v>4</v>
      </c>
      <c r="H12" s="37">
        <f t="shared" si="2"/>
        <v>250</v>
      </c>
    </row>
    <row r="13" spans="1:14" ht="15" thickBot="1" x14ac:dyDescent="0.4">
      <c r="A13" s="3">
        <v>3011</v>
      </c>
      <c r="B13" s="4" t="s">
        <v>79</v>
      </c>
      <c r="C13" s="4" t="s">
        <v>66</v>
      </c>
      <c r="D13" s="15">
        <v>107634</v>
      </c>
      <c r="E13" s="18">
        <v>44505</v>
      </c>
      <c r="F13" s="35">
        <f t="shared" si="0"/>
        <v>2021</v>
      </c>
      <c r="G13" s="35">
        <f t="shared" ca="1" si="1"/>
        <v>4</v>
      </c>
      <c r="H13" s="37">
        <f t="shared" si="2"/>
        <v>250</v>
      </c>
    </row>
    <row r="14" spans="1:14" ht="15" thickBot="1" x14ac:dyDescent="0.4">
      <c r="A14" s="3">
        <v>3012</v>
      </c>
      <c r="B14" s="4" t="s">
        <v>80</v>
      </c>
      <c r="C14" s="4" t="s">
        <v>66</v>
      </c>
      <c r="D14" s="15">
        <v>35226</v>
      </c>
      <c r="E14" s="18">
        <v>44755</v>
      </c>
      <c r="F14" s="35">
        <f t="shared" si="0"/>
        <v>2022</v>
      </c>
      <c r="G14" s="35">
        <f t="shared" ca="1" si="1"/>
        <v>3</v>
      </c>
      <c r="H14" s="37">
        <f t="shared" si="2"/>
        <v>250</v>
      </c>
    </row>
    <row r="15" spans="1:14" ht="15" thickBot="1" x14ac:dyDescent="0.4">
      <c r="A15" s="3">
        <v>3013</v>
      </c>
      <c r="B15" s="4" t="s">
        <v>81</v>
      </c>
      <c r="C15" s="4" t="s">
        <v>69</v>
      </c>
      <c r="D15" s="15">
        <v>40872</v>
      </c>
      <c r="E15" s="18">
        <v>45005</v>
      </c>
      <c r="F15" s="35">
        <f t="shared" si="0"/>
        <v>2023</v>
      </c>
      <c r="G15" s="35">
        <f t="shared" ca="1" si="1"/>
        <v>2</v>
      </c>
      <c r="H15" s="37">
        <f t="shared" si="2"/>
        <v>250</v>
      </c>
    </row>
    <row r="16" spans="1:14" ht="15" thickBot="1" x14ac:dyDescent="0.4">
      <c r="A16" s="3">
        <v>3014</v>
      </c>
      <c r="B16" s="4" t="s">
        <v>82</v>
      </c>
      <c r="C16" s="4" t="s">
        <v>69</v>
      </c>
      <c r="D16" s="15">
        <v>55378</v>
      </c>
      <c r="E16" s="18">
        <v>45255</v>
      </c>
      <c r="F16" s="35">
        <f t="shared" si="0"/>
        <v>2023</v>
      </c>
      <c r="G16" s="35">
        <f t="shared" ca="1" si="1"/>
        <v>2</v>
      </c>
      <c r="H16" s="37">
        <f t="shared" si="2"/>
        <v>250</v>
      </c>
    </row>
    <row r="17" spans="1:8" ht="15" thickBot="1" x14ac:dyDescent="0.4">
      <c r="A17" s="3">
        <v>3015</v>
      </c>
      <c r="B17" s="4" t="s">
        <v>83</v>
      </c>
      <c r="C17" s="4" t="s">
        <v>69</v>
      </c>
      <c r="D17" s="15">
        <v>63297</v>
      </c>
      <c r="E17" s="18">
        <v>45505</v>
      </c>
      <c r="F17" s="35">
        <f t="shared" si="0"/>
        <v>2024</v>
      </c>
      <c r="G17" s="35">
        <f t="shared" ca="1" si="1"/>
        <v>1</v>
      </c>
      <c r="H17" s="37">
        <f t="shared" si="2"/>
        <v>250</v>
      </c>
    </row>
    <row r="18" spans="1:8" ht="15" thickBot="1" x14ac:dyDescent="0.4">
      <c r="A18" s="3">
        <v>3016</v>
      </c>
      <c r="B18" s="4" t="s">
        <v>84</v>
      </c>
      <c r="C18" s="4" t="s">
        <v>66</v>
      </c>
      <c r="D18" s="15">
        <v>114173</v>
      </c>
      <c r="E18" s="18">
        <v>45755</v>
      </c>
      <c r="F18" s="35">
        <f t="shared" si="0"/>
        <v>2025</v>
      </c>
      <c r="G18" s="35">
        <f t="shared" ca="1" si="1"/>
        <v>0</v>
      </c>
      <c r="H18" s="37">
        <f t="shared" si="2"/>
        <v>250</v>
      </c>
    </row>
    <row r="19" spans="1:8" ht="15" thickBot="1" x14ac:dyDescent="0.4">
      <c r="A19" s="3">
        <v>3017</v>
      </c>
      <c r="B19" s="4" t="s">
        <v>85</v>
      </c>
      <c r="C19" s="4" t="s">
        <v>69</v>
      </c>
      <c r="D19" s="15">
        <v>86915</v>
      </c>
      <c r="E19" s="18">
        <v>46005</v>
      </c>
      <c r="F19" s="35">
        <f t="shared" si="0"/>
        <v>2025</v>
      </c>
      <c r="G19" s="35">
        <f t="shared" ca="1" si="1"/>
        <v>0</v>
      </c>
      <c r="H19" s="37">
        <f t="shared" si="2"/>
        <v>250</v>
      </c>
    </row>
    <row r="20" spans="1:8" ht="15" thickBot="1" x14ac:dyDescent="0.4">
      <c r="A20" s="3">
        <v>3018</v>
      </c>
      <c r="B20" s="4" t="s">
        <v>86</v>
      </c>
      <c r="C20" s="4" t="s">
        <v>72</v>
      </c>
      <c r="D20" s="15">
        <v>116284</v>
      </c>
      <c r="E20" s="18">
        <v>46255</v>
      </c>
      <c r="F20" s="35">
        <f t="shared" si="0"/>
        <v>2026</v>
      </c>
      <c r="G20" s="35" t="str">
        <f t="shared" ca="1" si="1"/>
        <v/>
      </c>
      <c r="H20" s="37">
        <f t="shared" si="2"/>
        <v>250</v>
      </c>
    </row>
    <row r="21" spans="1:8" ht="15" thickBot="1" x14ac:dyDescent="0.4">
      <c r="A21" s="3">
        <v>3019</v>
      </c>
      <c r="B21" s="4" t="s">
        <v>87</v>
      </c>
      <c r="C21" s="4" t="s">
        <v>75</v>
      </c>
      <c r="D21" s="15">
        <v>116283</v>
      </c>
      <c r="E21" s="18">
        <v>46505</v>
      </c>
      <c r="F21" s="35">
        <f t="shared" si="0"/>
        <v>2027</v>
      </c>
      <c r="G21" s="35" t="str">
        <f t="shared" ca="1" si="1"/>
        <v/>
      </c>
      <c r="H21" s="37">
        <f t="shared" si="2"/>
        <v>250</v>
      </c>
    </row>
    <row r="22" spans="1:8" ht="15" thickBot="1" x14ac:dyDescent="0.4">
      <c r="A22" s="3">
        <v>3020</v>
      </c>
      <c r="B22" s="4" t="s">
        <v>88</v>
      </c>
      <c r="C22" s="4" t="s">
        <v>75</v>
      </c>
      <c r="D22" s="15">
        <v>99924</v>
      </c>
      <c r="E22" s="19">
        <v>46755</v>
      </c>
      <c r="F22" s="36">
        <f t="shared" si="0"/>
        <v>2028</v>
      </c>
      <c r="G22" s="35" t="str">
        <f t="shared" ca="1" si="1"/>
        <v/>
      </c>
      <c r="H22" s="35"/>
    </row>
  </sheetData>
  <autoFilter ref="A2:F2"/>
  <mergeCells count="2">
    <mergeCell ref="J5:J6"/>
    <mergeCell ref="K5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 GRADE</vt:lpstr>
      <vt:lpstr>SALES DATA</vt:lpstr>
      <vt:lpstr>EMPLOYEE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Singh</dc:creator>
  <cp:lastModifiedBy>Jilka Ashish</cp:lastModifiedBy>
  <dcterms:created xsi:type="dcterms:W3CDTF">2026-01-16T05:31:02Z</dcterms:created>
  <dcterms:modified xsi:type="dcterms:W3CDTF">2026-01-16T14:51:51Z</dcterms:modified>
</cp:coreProperties>
</file>